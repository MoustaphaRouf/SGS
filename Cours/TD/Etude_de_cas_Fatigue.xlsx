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E\COURS_SMS_EAMAC\SMS_EAMAC_2025\Support_cours_SMS\TD\"/>
    </mc:Choice>
  </mc:AlternateContent>
  <xr:revisionPtr revIDLastSave="0" documentId="13_ncr:1_{4BAF4A20-60AA-4CEE-BC04-470306635609}" xr6:coauthVersionLast="47" xr6:coauthVersionMax="47" xr10:uidLastSave="{00000000-0000-0000-0000-000000000000}"/>
  <bookViews>
    <workbookView xWindow="-120" yWindow="-120" windowWidth="20730" windowHeight="11040" xr2:uid="{5E3CB48D-1EA2-49CB-8038-6921B9BA76DB}"/>
  </bookViews>
  <sheets>
    <sheet name="GESTION_FATIGUE" sheetId="1" r:id="rId1"/>
    <sheet name="Conformité" sheetId="2" r:id="rId2"/>
    <sheet name="Déficit sommeil" sheetId="3" r:id="rId3"/>
    <sheet name="Risque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11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</calcChain>
</file>

<file path=xl/sharedStrings.xml><?xml version="1.0" encoding="utf-8"?>
<sst xmlns="http://schemas.openxmlformats.org/spreadsheetml/2006/main" count="68" uniqueCount="60">
  <si>
    <t>COURS GESTION DE LA SECURITE EAMAC</t>
  </si>
  <si>
    <t>ILLUSTRATION DANGER LIE A LA GESTION DE LA FATIGUE</t>
  </si>
  <si>
    <t>JOUR1</t>
  </si>
  <si>
    <t>06H – 18H</t>
  </si>
  <si>
    <t>18H – 06H</t>
  </si>
  <si>
    <t>JOUR2</t>
  </si>
  <si>
    <t>JOUR3</t>
  </si>
  <si>
    <t>JOUR4</t>
  </si>
  <si>
    <t>JOUR5</t>
  </si>
  <si>
    <t>JOUR6</t>
  </si>
  <si>
    <t>JOUR7</t>
  </si>
  <si>
    <t>Indique la programmation de l'équipe durant la période</t>
  </si>
  <si>
    <t>Indique le repos l'équipe  durant la période</t>
  </si>
  <si>
    <t>Cycle de programmation d'une équipe ATC à la Tour d'Any-Town (Volontairement simplifié pour le besoin pédagique)</t>
  </si>
  <si>
    <t>Limite du doc 9966</t>
  </si>
  <si>
    <t xml:space="preserve">Nombre maximal de jours de travail consécutifs </t>
  </si>
  <si>
    <t>Nombre maximal d’heures de travail dans une période donnée (h/Semaine)</t>
  </si>
  <si>
    <t>Nombre maximal d’heures de temps en poste (heure)</t>
  </si>
  <si>
    <t>Durée minimale des périodes libres(heures)</t>
  </si>
  <si>
    <t>Nombre minimal de jours libres obligatoires dans une période définie (jours/semaine)</t>
  </si>
  <si>
    <t>Durée minimale des pauses entre les périodes de temps en poste dans une période de service (minute)</t>
  </si>
  <si>
    <t>Etude de cas</t>
  </si>
  <si>
    <t>Conformité</t>
  </si>
  <si>
    <t>Nombre maximal d’heures dans toute période de service</t>
  </si>
  <si>
    <t>Sommeil</t>
  </si>
  <si>
    <t>Besoin de sommeil</t>
  </si>
  <si>
    <t>08h</t>
  </si>
  <si>
    <t>Heure de sommeil habituel</t>
  </si>
  <si>
    <t>Durée de sieste habituelle</t>
  </si>
  <si>
    <t>23h à 07h00</t>
  </si>
  <si>
    <t>2h</t>
  </si>
  <si>
    <t>HYPOTHESES</t>
  </si>
  <si>
    <t>Fenètre de calcul de sommeil</t>
  </si>
  <si>
    <t>Période de service</t>
  </si>
  <si>
    <t>Sieste</t>
  </si>
  <si>
    <t>Déficit</t>
  </si>
  <si>
    <t>Déficit cumulé</t>
  </si>
  <si>
    <t>JOUR8</t>
  </si>
  <si>
    <t>JOUR9</t>
  </si>
  <si>
    <t>JOUR10</t>
  </si>
  <si>
    <t>JOUR11</t>
  </si>
  <si>
    <t>JOUR12</t>
  </si>
  <si>
    <t>JOUR13</t>
  </si>
  <si>
    <t>JOUR14</t>
  </si>
  <si>
    <t>JOUR15</t>
  </si>
  <si>
    <t>JOUR16</t>
  </si>
  <si>
    <t>JOUR17</t>
  </si>
  <si>
    <t>JOUR18</t>
  </si>
  <si>
    <t>JOUR19</t>
  </si>
  <si>
    <t>JOUR20</t>
  </si>
  <si>
    <t>JOUR21</t>
  </si>
  <si>
    <t>Période</t>
  </si>
  <si>
    <t>Durée trajet aéroport-Domicile</t>
  </si>
  <si>
    <t>Durée pour s'endormir</t>
  </si>
  <si>
    <t>30 minutes</t>
  </si>
  <si>
    <t>Durée entre reveil et départ</t>
  </si>
  <si>
    <t>30 miutes</t>
  </si>
  <si>
    <t>07h00 (jour J) - 07h00 (jour J+1)</t>
  </si>
  <si>
    <t>Facteurs de risque</t>
  </si>
  <si>
    <t>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</si>
</sst>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 applyAlignment="1">
      <alignment horizontal="center"/>
    </xf>
    <xf numFmtId="0" fontId="9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" fillId="2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'Déficit sommeil'!$F$9</c:f>
              <c:strCache>
                <c:ptCount val="1"/>
                <c:pt idx="0">
                  <c:v>Déficit cumulé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'Déficit sommeil'!$A$10:$A$30</c:f>
              <c:strCache>
                <c:ptCount val="21"/>
                <c:pt idx="0">
                  <c:v>JOUR1</c:v>
                </c:pt>
                <c:pt idx="1">
                  <c:v>JOUR2</c:v>
                </c:pt>
                <c:pt idx="2">
                  <c:v>JOUR3</c:v>
                </c:pt>
                <c:pt idx="3">
                  <c:v>JOUR4</c:v>
                </c:pt>
                <c:pt idx="4">
                  <c:v>JOUR5</c:v>
                </c:pt>
                <c:pt idx="5">
                  <c:v>JOUR6</c:v>
                </c:pt>
                <c:pt idx="6">
                  <c:v>JOUR7</c:v>
                </c:pt>
                <c:pt idx="7">
                  <c:v>JOUR8</c:v>
                </c:pt>
                <c:pt idx="8">
                  <c:v>JOUR9</c:v>
                </c:pt>
                <c:pt idx="9">
                  <c:v>JOUR10</c:v>
                </c:pt>
                <c:pt idx="10">
                  <c:v>JOUR11</c:v>
                </c:pt>
                <c:pt idx="11">
                  <c:v>JOUR12</c:v>
                </c:pt>
                <c:pt idx="12">
                  <c:v>JOUR13</c:v>
                </c:pt>
                <c:pt idx="13">
                  <c:v>JOUR14</c:v>
                </c:pt>
                <c:pt idx="14">
                  <c:v>JOUR15</c:v>
                </c:pt>
                <c:pt idx="15">
                  <c:v>JOUR16</c:v>
                </c:pt>
                <c:pt idx="16">
                  <c:v>JOUR17</c:v>
                </c:pt>
                <c:pt idx="17">
                  <c:v>JOUR18</c:v>
                </c:pt>
                <c:pt idx="18">
                  <c:v>JOUR19</c:v>
                </c:pt>
                <c:pt idx="19">
                  <c:v>JOUR20</c:v>
                </c:pt>
                <c:pt idx="20">
                  <c:v>JOUR21</c:v>
                </c:pt>
              </c:strCache>
            </c:strRef>
          </c:cat>
          <c:val>
            <c:numRef>
              <c:f>'Déficit sommeil'!$F$10:$F$30</c:f>
              <c:numCache>
                <c:formatCode>General</c:formatCode>
                <c:ptCount val="21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6-44CF-ACC3-267BC974E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07723448"/>
        <c:axId val="507719128"/>
      </c:lineChart>
      <c:catAx>
        <c:axId val="50772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07719128"/>
        <c:crosses val="autoZero"/>
        <c:auto val="1"/>
        <c:lblAlgn val="ctr"/>
        <c:lblOffset val="100"/>
        <c:noMultiLvlLbl val="0"/>
      </c:catAx>
      <c:valAx>
        <c:axId val="50771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Déficit de sommeil en 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0772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562654</xdr:colOff>
      <xdr:row>12</xdr:row>
      <xdr:rowOff>244930</xdr:rowOff>
    </xdr:from>
    <xdr:to>
      <xdr:col>16</xdr:col>
      <xdr:colOff>757917</xdr:colOff>
      <xdr:row>26</xdr:row>
      <xdr:rowOff>244928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E4E4523-7B48-4BBF-A94C-854C7E5B7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1F0E-EFD7-4A78-88E2-214B6B3C8D72}">
  <dimension ref="A1:K11"/>
  <sheetViews>
    <sheetView tabSelected="1" workbookViewId="0">
      <selection activeCell="E12" sqref="E12"/>
    </sheetView>
  </sheetViews>
  <sheetFormatPr baseColWidth="10" defaultRowHeight="15" x14ac:dyDescent="0.25"/>
  <cols>
    <col min="1" max="1" width="19.5703125" customWidth="1"/>
    <col min="2" max="2" width="16" customWidth="1"/>
    <col min="3" max="3" width="17.5703125" customWidth="1"/>
    <col min="4" max="4" width="18.28515625" customWidth="1"/>
    <col min="5" max="5" width="16.7109375" customWidth="1"/>
    <col min="6" max="6" width="19.140625" customWidth="1"/>
    <col min="7" max="7" width="18.42578125" customWidth="1"/>
    <col min="8" max="8" width="23.5703125" customWidth="1"/>
  </cols>
  <sheetData>
    <row r="1" spans="1:11" ht="25.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3.25" x14ac:dyDescent="0.35">
      <c r="A2" s="49" t="s">
        <v>1</v>
      </c>
      <c r="B2" s="49"/>
      <c r="C2" s="49"/>
      <c r="D2" s="49"/>
      <c r="E2" s="49"/>
      <c r="F2" s="49"/>
      <c r="G2" s="3"/>
      <c r="H2" s="3"/>
    </row>
    <row r="3" spans="1:11" ht="23.25" x14ac:dyDescent="0.35">
      <c r="A3" s="2"/>
      <c r="B3" s="2"/>
      <c r="C3" s="2"/>
      <c r="D3" s="2"/>
      <c r="E3" s="2"/>
      <c r="F3" s="2"/>
      <c r="G3" s="3"/>
      <c r="H3" s="3"/>
    </row>
    <row r="4" spans="1:11" ht="23.25" x14ac:dyDescent="0.35">
      <c r="A4" s="18" t="s">
        <v>13</v>
      </c>
      <c r="B4" s="18"/>
      <c r="C4" s="18"/>
      <c r="D4" s="18"/>
      <c r="E4" s="18"/>
      <c r="F4" s="2"/>
      <c r="G4" s="3"/>
      <c r="H4" s="3"/>
    </row>
    <row r="5" spans="1:11" ht="24" thickBot="1" x14ac:dyDescent="0.4">
      <c r="A5" s="2"/>
      <c r="B5" s="2"/>
      <c r="C5" s="2"/>
      <c r="D5" s="2"/>
      <c r="E5" s="2"/>
      <c r="F5" s="2"/>
      <c r="G5" s="3"/>
      <c r="H5" s="3"/>
    </row>
    <row r="6" spans="1:11" ht="24" thickBot="1" x14ac:dyDescent="0.3">
      <c r="A6" s="4"/>
      <c r="B6" s="5" t="s">
        <v>2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7" t="s">
        <v>10</v>
      </c>
    </row>
    <row r="7" spans="1:11" ht="23.25" x14ac:dyDescent="0.25">
      <c r="A7" s="8" t="s">
        <v>3</v>
      </c>
      <c r="B7" s="9">
        <v>1</v>
      </c>
      <c r="C7" s="10">
        <v>0</v>
      </c>
      <c r="D7" s="10">
        <v>0</v>
      </c>
      <c r="E7" s="10">
        <v>0</v>
      </c>
      <c r="F7" s="10">
        <v>1</v>
      </c>
      <c r="G7" s="10">
        <v>0</v>
      </c>
      <c r="H7" s="11">
        <v>0</v>
      </c>
    </row>
    <row r="8" spans="1:11" ht="24" thickBot="1" x14ac:dyDescent="0.3">
      <c r="A8" s="12" t="s">
        <v>4</v>
      </c>
      <c r="B8" s="13">
        <v>0</v>
      </c>
      <c r="C8" s="14">
        <v>1</v>
      </c>
      <c r="D8" s="14">
        <v>0</v>
      </c>
      <c r="E8" s="14">
        <v>0</v>
      </c>
      <c r="F8" s="14">
        <v>0</v>
      </c>
      <c r="G8" s="14">
        <v>1</v>
      </c>
      <c r="H8" s="15">
        <v>0</v>
      </c>
    </row>
    <row r="9" spans="1:11" ht="23.25" x14ac:dyDescent="0.35">
      <c r="A9" s="16"/>
      <c r="B9" s="3"/>
      <c r="C9" s="3"/>
      <c r="D9" s="3"/>
      <c r="E9" s="3"/>
      <c r="F9" s="3"/>
      <c r="G9" s="3"/>
      <c r="H9" s="3"/>
    </row>
    <row r="10" spans="1:11" x14ac:dyDescent="0.25">
      <c r="A10" s="17">
        <v>1</v>
      </c>
      <c r="B10" s="50" t="s">
        <v>11</v>
      </c>
      <c r="C10" s="50"/>
      <c r="D10" s="50"/>
    </row>
    <row r="11" spans="1:11" x14ac:dyDescent="0.25">
      <c r="A11" s="17">
        <v>0</v>
      </c>
      <c r="B11" s="50" t="s">
        <v>12</v>
      </c>
      <c r="C11" s="50"/>
      <c r="D11" s="50"/>
    </row>
  </sheetData>
  <mergeCells count="4">
    <mergeCell ref="A2:F2"/>
    <mergeCell ref="B10:D10"/>
    <mergeCell ref="B11:D11"/>
    <mergeCell ref="A1:K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4215-A2FB-4A68-8319-1A6D995C30C3}">
  <dimension ref="A1:D8"/>
  <sheetViews>
    <sheetView zoomScale="80" zoomScaleNormal="80" workbookViewId="0">
      <selection activeCell="F6" sqref="F6"/>
    </sheetView>
  </sheetViews>
  <sheetFormatPr baseColWidth="10" defaultRowHeight="15" x14ac:dyDescent="0.25"/>
  <cols>
    <col min="1" max="1" width="37.5703125" customWidth="1"/>
    <col min="2" max="2" width="23.7109375" customWidth="1"/>
    <col min="3" max="3" width="19.85546875" customWidth="1"/>
    <col min="4" max="4" width="14.5703125" customWidth="1"/>
  </cols>
  <sheetData>
    <row r="1" spans="1:4" ht="38.25" thickBot="1" x14ac:dyDescent="0.3">
      <c r="A1" s="19"/>
      <c r="B1" s="28" t="s">
        <v>14</v>
      </c>
      <c r="C1" s="29" t="s">
        <v>21</v>
      </c>
      <c r="D1" s="30" t="s">
        <v>22</v>
      </c>
    </row>
    <row r="2" spans="1:4" ht="38.25" thickBot="1" x14ac:dyDescent="0.3">
      <c r="A2" s="20" t="s">
        <v>23</v>
      </c>
      <c r="B2" s="23">
        <v>12</v>
      </c>
      <c r="C2" s="22"/>
      <c r="D2" s="24"/>
    </row>
    <row r="3" spans="1:4" ht="38.25" thickBot="1" x14ac:dyDescent="0.3">
      <c r="A3" s="20" t="s">
        <v>15</v>
      </c>
      <c r="B3" s="23">
        <v>6</v>
      </c>
      <c r="C3" s="22"/>
      <c r="D3" s="24"/>
    </row>
    <row r="4" spans="1:4" ht="57" thickBot="1" x14ac:dyDescent="0.3">
      <c r="A4" s="20" t="s">
        <v>16</v>
      </c>
      <c r="B4" s="23">
        <v>50</v>
      </c>
      <c r="C4" s="22"/>
      <c r="D4" s="24"/>
    </row>
    <row r="5" spans="1:4" ht="38.25" thickBot="1" x14ac:dyDescent="0.3">
      <c r="A5" s="20" t="s">
        <v>17</v>
      </c>
      <c r="B5" s="23">
        <v>2</v>
      </c>
      <c r="C5" s="22"/>
      <c r="D5" s="24"/>
    </row>
    <row r="6" spans="1:4" ht="38.25" thickBot="1" x14ac:dyDescent="0.3">
      <c r="A6" s="21" t="s">
        <v>18</v>
      </c>
      <c r="B6" s="23"/>
      <c r="C6" s="22"/>
      <c r="D6" s="24"/>
    </row>
    <row r="7" spans="1:4" ht="57" thickBot="1" x14ac:dyDescent="0.3">
      <c r="A7" s="21" t="s">
        <v>19</v>
      </c>
      <c r="B7" s="23"/>
      <c r="C7" s="22"/>
      <c r="D7" s="24"/>
    </row>
    <row r="8" spans="1:4" ht="75.75" thickBot="1" x14ac:dyDescent="0.3">
      <c r="A8" s="21" t="s">
        <v>20</v>
      </c>
      <c r="B8" s="25">
        <v>30</v>
      </c>
      <c r="C8" s="26"/>
      <c r="D8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416E-9312-44F3-A4F4-B16979A868DD}">
  <dimension ref="A1:F30"/>
  <sheetViews>
    <sheetView zoomScale="70" zoomScaleNormal="70" workbookViewId="0">
      <selection activeCell="I5" sqref="I5"/>
    </sheetView>
  </sheetViews>
  <sheetFormatPr baseColWidth="10" defaultRowHeight="15" x14ac:dyDescent="0.25"/>
  <cols>
    <col min="1" max="1" width="36" customWidth="1"/>
    <col min="2" max="2" width="24.85546875" customWidth="1"/>
    <col min="3" max="3" width="20.5703125" customWidth="1"/>
    <col min="4" max="4" width="16.28515625" customWidth="1"/>
    <col min="5" max="5" width="23.28515625" customWidth="1"/>
    <col min="6" max="6" width="14.85546875" customWidth="1"/>
  </cols>
  <sheetData>
    <row r="1" spans="1:6" ht="18.75" x14ac:dyDescent="0.3">
      <c r="A1" s="44" t="s">
        <v>31</v>
      </c>
      <c r="B1" s="33"/>
      <c r="C1" s="1"/>
      <c r="D1" s="1"/>
      <c r="E1" s="1"/>
    </row>
    <row r="2" spans="1:6" ht="18.75" x14ac:dyDescent="0.3">
      <c r="A2" s="39" t="s">
        <v>25</v>
      </c>
      <c r="B2" s="39" t="s">
        <v>26</v>
      </c>
      <c r="C2" s="32"/>
      <c r="D2" s="32"/>
      <c r="E2" s="31"/>
    </row>
    <row r="3" spans="1:6" ht="18.75" x14ac:dyDescent="0.3">
      <c r="A3" s="40" t="s">
        <v>27</v>
      </c>
      <c r="B3" s="41" t="s">
        <v>29</v>
      </c>
    </row>
    <row r="4" spans="1:6" ht="18.75" x14ac:dyDescent="0.3">
      <c r="A4" s="40" t="s">
        <v>28</v>
      </c>
      <c r="B4" s="41" t="s">
        <v>30</v>
      </c>
    </row>
    <row r="5" spans="1:6" ht="37.5" x14ac:dyDescent="0.3">
      <c r="A5" s="42" t="s">
        <v>32</v>
      </c>
      <c r="B5" s="43" t="s">
        <v>57</v>
      </c>
    </row>
    <row r="6" spans="1:6" ht="18.75" x14ac:dyDescent="0.3">
      <c r="A6" s="42" t="s">
        <v>52</v>
      </c>
      <c r="B6" s="43" t="s">
        <v>54</v>
      </c>
    </row>
    <row r="7" spans="1:6" ht="18.75" x14ac:dyDescent="0.3">
      <c r="A7" s="42" t="s">
        <v>53</v>
      </c>
      <c r="B7" s="43" t="s">
        <v>54</v>
      </c>
    </row>
    <row r="8" spans="1:6" ht="18.75" x14ac:dyDescent="0.3">
      <c r="A8" s="42" t="s">
        <v>55</v>
      </c>
      <c r="B8" s="43" t="s">
        <v>56</v>
      </c>
    </row>
    <row r="9" spans="1:6" ht="47.25" thickBot="1" x14ac:dyDescent="0.3">
      <c r="A9" s="4" t="s">
        <v>51</v>
      </c>
      <c r="B9" s="10" t="s">
        <v>33</v>
      </c>
      <c r="C9" s="10" t="s">
        <v>24</v>
      </c>
      <c r="D9" s="10" t="s">
        <v>34</v>
      </c>
      <c r="E9" s="10" t="s">
        <v>35</v>
      </c>
      <c r="F9" s="10" t="s">
        <v>36</v>
      </c>
    </row>
    <row r="10" spans="1:6" ht="24" thickBot="1" x14ac:dyDescent="0.3">
      <c r="A10" s="34" t="s">
        <v>2</v>
      </c>
      <c r="B10" s="35"/>
      <c r="C10" s="10"/>
      <c r="D10" s="10"/>
      <c r="E10" s="36">
        <f>8-SUM(C10:D10)</f>
        <v>8</v>
      </c>
      <c r="F10" s="36">
        <v>0</v>
      </c>
    </row>
    <row r="11" spans="1:6" ht="24" thickBot="1" x14ac:dyDescent="0.3">
      <c r="A11" s="37" t="s">
        <v>5</v>
      </c>
      <c r="B11" s="35"/>
      <c r="C11" s="10"/>
      <c r="D11" s="10"/>
      <c r="E11" s="36">
        <f t="shared" ref="E11:E16" si="0">8-SUM(C11:D11)</f>
        <v>8</v>
      </c>
      <c r="F11" s="36">
        <f>SUM(F10,E11)</f>
        <v>8</v>
      </c>
    </row>
    <row r="12" spans="1:6" ht="24" thickBot="1" x14ac:dyDescent="0.3">
      <c r="A12" s="37" t="s">
        <v>6</v>
      </c>
      <c r="B12" s="35"/>
      <c r="C12" s="10"/>
      <c r="D12" s="10"/>
      <c r="E12" s="36">
        <f t="shared" si="0"/>
        <v>8</v>
      </c>
      <c r="F12" s="36">
        <f t="shared" ref="F12:F30" si="1">SUM(F11,E12)</f>
        <v>16</v>
      </c>
    </row>
    <row r="13" spans="1:6" ht="24" thickBot="1" x14ac:dyDescent="0.3">
      <c r="A13" s="37" t="s">
        <v>7</v>
      </c>
      <c r="B13" s="35"/>
      <c r="C13" s="10"/>
      <c r="D13" s="10"/>
      <c r="E13" s="36">
        <f t="shared" si="0"/>
        <v>8</v>
      </c>
      <c r="F13" s="36">
        <f t="shared" si="1"/>
        <v>24</v>
      </c>
    </row>
    <row r="14" spans="1:6" ht="24" thickBot="1" x14ac:dyDescent="0.3">
      <c r="A14" s="37" t="s">
        <v>8</v>
      </c>
      <c r="B14" s="35"/>
      <c r="C14" s="10"/>
      <c r="D14" s="10"/>
      <c r="E14" s="36">
        <f t="shared" si="0"/>
        <v>8</v>
      </c>
      <c r="F14" s="36">
        <f t="shared" si="1"/>
        <v>32</v>
      </c>
    </row>
    <row r="15" spans="1:6" ht="24" thickBot="1" x14ac:dyDescent="0.3">
      <c r="A15" s="37" t="s">
        <v>9</v>
      </c>
      <c r="B15" s="35"/>
      <c r="C15" s="10"/>
      <c r="D15" s="10"/>
      <c r="E15" s="36">
        <f t="shared" si="0"/>
        <v>8</v>
      </c>
      <c r="F15" s="36">
        <f t="shared" si="1"/>
        <v>40</v>
      </c>
    </row>
    <row r="16" spans="1:6" ht="24" thickBot="1" x14ac:dyDescent="0.3">
      <c r="A16" s="37" t="s">
        <v>10</v>
      </c>
      <c r="B16" s="35"/>
      <c r="C16" s="10"/>
      <c r="D16" s="10"/>
      <c r="E16" s="36">
        <f t="shared" si="0"/>
        <v>8</v>
      </c>
      <c r="F16" s="36">
        <f t="shared" si="1"/>
        <v>48</v>
      </c>
    </row>
    <row r="17" spans="1:6" ht="24" thickBot="1" x14ac:dyDescent="0.3">
      <c r="A17" s="38" t="s">
        <v>37</v>
      </c>
      <c r="B17" s="35"/>
      <c r="C17" s="10"/>
      <c r="D17" s="10"/>
      <c r="E17" s="36">
        <f>8-SUM(C17:D17)</f>
        <v>8</v>
      </c>
      <c r="F17" s="36">
        <f t="shared" si="1"/>
        <v>56</v>
      </c>
    </row>
    <row r="18" spans="1:6" ht="24" thickBot="1" x14ac:dyDescent="0.3">
      <c r="A18" s="38" t="s">
        <v>38</v>
      </c>
      <c r="B18" s="35"/>
      <c r="C18" s="10"/>
      <c r="D18" s="10"/>
      <c r="E18" s="36">
        <f t="shared" ref="E18:E23" si="2">8-SUM(C18:D18)</f>
        <v>8</v>
      </c>
      <c r="F18" s="36">
        <f t="shared" si="1"/>
        <v>64</v>
      </c>
    </row>
    <row r="19" spans="1:6" ht="24" thickBot="1" x14ac:dyDescent="0.3">
      <c r="A19" s="38" t="s">
        <v>39</v>
      </c>
      <c r="B19" s="35"/>
      <c r="C19" s="10"/>
      <c r="D19" s="10"/>
      <c r="E19" s="36">
        <f t="shared" si="2"/>
        <v>8</v>
      </c>
      <c r="F19" s="36">
        <f t="shared" si="1"/>
        <v>72</v>
      </c>
    </row>
    <row r="20" spans="1:6" ht="24" thickBot="1" x14ac:dyDescent="0.3">
      <c r="A20" s="38" t="s">
        <v>40</v>
      </c>
      <c r="B20" s="35"/>
      <c r="C20" s="10"/>
      <c r="D20" s="10"/>
      <c r="E20" s="36">
        <f t="shared" si="2"/>
        <v>8</v>
      </c>
      <c r="F20" s="36">
        <f t="shared" si="1"/>
        <v>80</v>
      </c>
    </row>
    <row r="21" spans="1:6" ht="24" thickBot="1" x14ac:dyDescent="0.3">
      <c r="A21" s="38" t="s">
        <v>41</v>
      </c>
      <c r="B21" s="35"/>
      <c r="C21" s="10"/>
      <c r="D21" s="10"/>
      <c r="E21" s="36">
        <f t="shared" si="2"/>
        <v>8</v>
      </c>
      <c r="F21" s="36">
        <f t="shared" si="1"/>
        <v>88</v>
      </c>
    </row>
    <row r="22" spans="1:6" ht="24" thickBot="1" x14ac:dyDescent="0.3">
      <c r="A22" s="38" t="s">
        <v>42</v>
      </c>
      <c r="B22" s="35"/>
      <c r="C22" s="10"/>
      <c r="D22" s="10"/>
      <c r="E22" s="36">
        <f t="shared" si="2"/>
        <v>8</v>
      </c>
      <c r="F22" s="36">
        <f t="shared" si="1"/>
        <v>96</v>
      </c>
    </row>
    <row r="23" spans="1:6" ht="24" thickBot="1" x14ac:dyDescent="0.3">
      <c r="A23" s="38" t="s">
        <v>43</v>
      </c>
      <c r="B23" s="35"/>
      <c r="C23" s="10"/>
      <c r="D23" s="10"/>
      <c r="E23" s="36">
        <f t="shared" si="2"/>
        <v>8</v>
      </c>
      <c r="F23" s="36">
        <f t="shared" si="1"/>
        <v>104</v>
      </c>
    </row>
    <row r="24" spans="1:6" ht="24" thickBot="1" x14ac:dyDescent="0.3">
      <c r="A24" s="37" t="s">
        <v>44</v>
      </c>
      <c r="B24" s="35"/>
      <c r="C24" s="10"/>
      <c r="D24" s="10"/>
      <c r="E24" s="36">
        <f>8-SUM(C24:D24)</f>
        <v>8</v>
      </c>
      <c r="F24" s="36">
        <f t="shared" si="1"/>
        <v>112</v>
      </c>
    </row>
    <row r="25" spans="1:6" ht="24" thickBot="1" x14ac:dyDescent="0.3">
      <c r="A25" s="37" t="s">
        <v>45</v>
      </c>
      <c r="B25" s="35"/>
      <c r="C25" s="10"/>
      <c r="D25" s="10"/>
      <c r="E25" s="36">
        <f t="shared" ref="E25:E30" si="3">8-SUM(C25:D25)</f>
        <v>8</v>
      </c>
      <c r="F25" s="36">
        <f t="shared" si="1"/>
        <v>120</v>
      </c>
    </row>
    <row r="26" spans="1:6" ht="24" thickBot="1" x14ac:dyDescent="0.3">
      <c r="A26" s="37" t="s">
        <v>46</v>
      </c>
      <c r="B26" s="35"/>
      <c r="C26" s="10"/>
      <c r="D26" s="10"/>
      <c r="E26" s="36">
        <f t="shared" si="3"/>
        <v>8</v>
      </c>
      <c r="F26" s="36">
        <f t="shared" si="1"/>
        <v>128</v>
      </c>
    </row>
    <row r="27" spans="1:6" ht="24" thickBot="1" x14ac:dyDescent="0.3">
      <c r="A27" s="37" t="s">
        <v>47</v>
      </c>
      <c r="B27" s="35"/>
      <c r="C27" s="10"/>
      <c r="D27" s="10"/>
      <c r="E27" s="36">
        <f t="shared" si="3"/>
        <v>8</v>
      </c>
      <c r="F27" s="36">
        <f t="shared" si="1"/>
        <v>136</v>
      </c>
    </row>
    <row r="28" spans="1:6" ht="24" thickBot="1" x14ac:dyDescent="0.3">
      <c r="A28" s="37" t="s">
        <v>48</v>
      </c>
      <c r="B28" s="35"/>
      <c r="C28" s="10"/>
      <c r="D28" s="10"/>
      <c r="E28" s="36">
        <f t="shared" si="3"/>
        <v>8</v>
      </c>
      <c r="F28" s="36">
        <f t="shared" si="1"/>
        <v>144</v>
      </c>
    </row>
    <row r="29" spans="1:6" ht="24" thickBot="1" x14ac:dyDescent="0.3">
      <c r="A29" s="37" t="s">
        <v>49</v>
      </c>
      <c r="B29" s="35"/>
      <c r="C29" s="10"/>
      <c r="D29" s="10"/>
      <c r="E29" s="36">
        <f t="shared" si="3"/>
        <v>8</v>
      </c>
      <c r="F29" s="36">
        <f t="shared" si="1"/>
        <v>152</v>
      </c>
    </row>
    <row r="30" spans="1:6" ht="23.25" x14ac:dyDescent="0.25">
      <c r="A30" s="37" t="s">
        <v>50</v>
      </c>
      <c r="B30" s="35"/>
      <c r="C30" s="10"/>
      <c r="D30" s="10"/>
      <c r="E30" s="36">
        <f t="shared" si="3"/>
        <v>8</v>
      </c>
      <c r="F30" s="36">
        <f t="shared" si="1"/>
        <v>160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0FD6-7FB1-46E8-B661-44146FF47DC2}">
  <dimension ref="A1:B5"/>
  <sheetViews>
    <sheetView workbookViewId="0">
      <selection activeCell="B16" sqref="B16"/>
    </sheetView>
  </sheetViews>
  <sheetFormatPr baseColWidth="10" defaultRowHeight="15" x14ac:dyDescent="0.25"/>
  <cols>
    <col min="1" max="1" width="37.140625" customWidth="1"/>
    <col min="2" max="2" width="60.85546875" customWidth="1"/>
    <col min="5" max="5" width="23.28515625" customWidth="1"/>
  </cols>
  <sheetData>
    <row r="1" spans="1:2" ht="20.25" x14ac:dyDescent="0.3">
      <c r="A1" s="45" t="s">
        <v>58</v>
      </c>
      <c r="B1" s="45" t="s">
        <v>59</v>
      </c>
    </row>
    <row r="2" spans="1:2" ht="20.25" x14ac:dyDescent="0.3">
      <c r="A2" s="46"/>
      <c r="B2" s="46"/>
    </row>
    <row r="3" spans="1:2" ht="20.25" x14ac:dyDescent="0.25">
      <c r="A3" s="47"/>
      <c r="B3" s="48"/>
    </row>
    <row r="4" spans="1:2" ht="20.25" x14ac:dyDescent="0.3">
      <c r="A4" s="46"/>
      <c r="B4" s="46"/>
    </row>
    <row r="5" spans="1:2" ht="20.25" x14ac:dyDescent="0.3">
      <c r="A5" s="46"/>
      <c r="B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GESTION_FATIGUE</vt:lpstr>
      <vt:lpstr>Conformité</vt:lpstr>
      <vt:lpstr>Déficit sommeil</vt:lpstr>
      <vt:lpstr>Risques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Moustapha Roufai</dc:creator>
  <cp:lastModifiedBy>MOUSTAPHA Amadou Roufaï</cp:lastModifiedBy>
  <dcterms:created xsi:type="dcterms:W3CDTF">2026-01-25T09:52:40Z</dcterms:created>
  <dcterms:modified xsi:type="dcterms:W3CDTF">2026-02-03T21:11:22Z</dcterms:modified>
</cp:coreProperties>
</file>